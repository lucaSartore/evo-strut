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<sst xmlns="http://schemas.openxmlformats.org/spreadsheetml/2006/main" count="67" uniqueCount="67">
  <si>
    <t xml:space="preserve">Test ID</t>
  </si>
  <si>
    <t>Algorithm</t>
  </si>
  <si>
    <t>Mesh</t>
  </si>
  <si>
    <t xml:space="preserve">Optimization Time [s]</t>
  </si>
  <si>
    <t xml:space="preserve">Filament Use [g]</t>
  </si>
  <si>
    <t xml:space="preserve">Model Filament [g]</t>
  </si>
  <si>
    <t xml:space="preserve">Support Filament [g]</t>
  </si>
  <si>
    <t xml:space="preserve">support to body ratio [%]</t>
  </si>
  <si>
    <t xml:space="preserve">reduction over reference* [g]</t>
  </si>
  <si>
    <t>Prinatble</t>
  </si>
  <si>
    <t xml:space="preserve">Reduction [%]</t>
  </si>
  <si>
    <t xml:space="preserve">Print time</t>
  </si>
  <si>
    <t>Test</t>
  </si>
  <si>
    <t xml:space="preserve">Average Reduction[%]</t>
  </si>
  <si>
    <t>ES1D</t>
  </si>
  <si>
    <t xml:space="preserve">Evo Strut</t>
  </si>
  <si>
    <t>Dragon</t>
  </si>
  <si>
    <t>Yes</t>
  </si>
  <si>
    <t>12h35m</t>
  </si>
  <si>
    <t>ES2D</t>
  </si>
  <si>
    <t>12h15m</t>
  </si>
  <si>
    <t>Armadillo</t>
  </si>
  <si>
    <t>ES3D</t>
  </si>
  <si>
    <t>11h59m</t>
  </si>
  <si>
    <t>Candlestick</t>
  </si>
  <si>
    <t>ES4D</t>
  </si>
  <si>
    <t>11h46m</t>
  </si>
  <si>
    <t>All</t>
  </si>
  <si>
    <t>ES5D</t>
  </si>
  <si>
    <t>12h26m</t>
  </si>
  <si>
    <t>ES1A</t>
  </si>
  <si>
    <t>5h38m</t>
  </si>
  <si>
    <t>ES2A</t>
  </si>
  <si>
    <t>5h59m</t>
  </si>
  <si>
    <t>ES3A</t>
  </si>
  <si>
    <t>5h57m</t>
  </si>
  <si>
    <t>ES4A</t>
  </si>
  <si>
    <t>5h34m</t>
  </si>
  <si>
    <t>ES5A</t>
  </si>
  <si>
    <t>ES1C</t>
  </si>
  <si>
    <t>5h3m</t>
  </si>
  <si>
    <t>ES2C</t>
  </si>
  <si>
    <t>5h16m</t>
  </si>
  <si>
    <t>ES3C</t>
  </si>
  <si>
    <t>5h27m</t>
  </si>
  <si>
    <t>ES4C</t>
  </si>
  <si>
    <t>4h50m</t>
  </si>
  <si>
    <t>ES5C</t>
  </si>
  <si>
    <t>TSD</t>
  </si>
  <si>
    <t xml:space="preserve">Tree Supports</t>
  </si>
  <si>
    <t>&lt;10</t>
  </si>
  <si>
    <t>No</t>
  </si>
  <si>
    <t>10h34m</t>
  </si>
  <si>
    <t>CTSD*</t>
  </si>
  <si>
    <t xml:space="preserve">Custom Tree Supports</t>
  </si>
  <si>
    <t>11h43m</t>
  </si>
  <si>
    <t>TSA*</t>
  </si>
  <si>
    <t>5h47m</t>
  </si>
  <si>
    <t>TSC*</t>
  </si>
  <si>
    <t>4h41m</t>
  </si>
  <si>
    <t>NSD</t>
  </si>
  <si>
    <t xml:space="preserve">Normal Supports</t>
  </si>
  <si>
    <t>12h33m</t>
  </si>
  <si>
    <t>NSA</t>
  </si>
  <si>
    <t>7h50m</t>
  </si>
  <si>
    <t>NSC</t>
  </si>
  <si>
    <t xml:space="preserve">*The reference is indicated with the * at the name end (CTSD, TSA, TSC)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</si>
</sst>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sz val="11.000000"/>
      <color theme="9" tint="0"/>
      <name val="Calibri"/>
      <scheme val="minor"/>
    </font>
    <font>
      <sz val="11.000000"/>
      <color indexed="2"/>
      <name val="Calibri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9">
    <border>
      <left style="none"/>
      <right style="none"/>
      <top style="none"/>
      <bottom style="none"/>
      <diagonal style="none"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2">
    <xf fontId="0" fillId="0" borderId="0" numFmtId="0" applyNumberFormat="1" applyFont="1" applyFill="1" applyBorder="1"/>
    <xf fontId="0" fillId="2" borderId="0" numFmtId="9" applyNumberFormat="1" applyFont="0" applyFill="0" applyBorder="0"/>
  </cellStyleXfs>
  <cellXfs count="23">
    <xf fontId="0" fillId="0" borderId="0" numFmtId="0" xfId="0"/>
    <xf fontId="0" fillId="0" borderId="0" numFmtId="0" xfId="0"/>
    <xf fontId="0" fillId="0" borderId="0" numFmtId="0" xfId="0">
      <protection hidden="0" locked="1"/>
    </xf>
    <xf fontId="0" fillId="0" borderId="0" numFmtId="2" xfId="0" applyNumberFormat="1"/>
    <xf fontId="0" fillId="0" borderId="0" numFmtId="2" xfId="0" applyNumberFormat="1">
      <protection hidden="0" locked="1"/>
    </xf>
    <xf fontId="0" fillId="0" borderId="0" numFmtId="9" xfId="1" applyNumberFormat="1">
      <protection hidden="0" locked="1"/>
    </xf>
    <xf fontId="0" fillId="0" borderId="0" numFmtId="2" xfId="1" applyNumberFormat="1">
      <protection hidden="0" locked="1"/>
    </xf>
    <xf fontId="1" fillId="0" borderId="0" numFmtId="2" xfId="1" applyNumberFormat="1" applyFont="1">
      <protection hidden="0" locked="1"/>
    </xf>
    <xf fontId="0" fillId="0" borderId="0" numFmtId="9" xfId="1" applyNumberFormat="1"/>
    <xf fontId="0" fillId="0" borderId="0" numFmtId="9" xfId="0" applyNumberFormat="1"/>
    <xf fontId="0" fillId="0" borderId="0" numFmtId="0" xfId="0"/>
    <xf fontId="0" fillId="0" borderId="0" numFmtId="0" xfId="0" applyAlignment="1">
      <alignment horizontal="right"/>
    </xf>
    <xf fontId="2" fillId="0" borderId="0" numFmtId="2" xfId="1" applyNumberFormat="1" applyFont="1">
      <protection hidden="0" locked="1"/>
    </xf>
    <xf fontId="0" fillId="0" borderId="0" numFmtId="0" xfId="1">
      <protection hidden="0" locked="1"/>
    </xf>
    <xf fontId="0" fillId="0" borderId="1" numFmtId="0" xfId="0" applyBorder="1" applyAlignment="1">
      <alignment horizontal="left" vertical="top" wrapText="1"/>
    </xf>
    <xf fontId="0" fillId="0" borderId="2" numFmtId="0" xfId="0" applyBorder="1" applyAlignment="1">
      <alignment horizontal="left" vertical="top" wrapText="1"/>
    </xf>
    <xf fontId="0" fillId="0" borderId="3" numFmtId="0" xfId="0" applyBorder="1" applyAlignment="1">
      <alignment horizontal="left" vertical="top" wrapText="1"/>
    </xf>
    <xf fontId="0" fillId="0" borderId="4" numFmtId="0" xfId="0" applyBorder="1" applyAlignment="1">
      <alignment horizontal="left" vertical="top" wrapText="1"/>
    </xf>
    <xf fontId="0" fillId="0" borderId="0" numFmtId="0" xfId="0" applyAlignment="1">
      <alignment horizontal="left" vertical="top" wrapText="1"/>
    </xf>
    <xf fontId="0" fillId="0" borderId="5" numFmtId="0" xfId="0" applyBorder="1" applyAlignment="1">
      <alignment horizontal="left" vertical="top" wrapText="1"/>
    </xf>
    <xf fontId="0" fillId="0" borderId="6" numFmtId="0" xfId="0" applyBorder="1" applyAlignment="1">
      <alignment horizontal="left" vertical="top" wrapText="1"/>
    </xf>
    <xf fontId="0" fillId="0" borderId="7" numFmtId="0" xfId="0" applyBorder="1" applyAlignment="1">
      <alignment horizontal="left" vertical="top" wrapText="1"/>
    </xf>
    <xf fontId="0" fillId="0" borderId="8" numFmtId="0" xfId="0" applyBorder="1" applyAlignment="1">
      <alignment horizontal="left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0.57421875"/>
    <col bestFit="1" customWidth="1" min="2" max="2" width="19.68359375"/>
    <col customWidth="1" min="3" max="3" width="12.421875"/>
    <col customWidth="1" min="4" max="4" width="19.7109375"/>
    <col customWidth="1" min="5" max="5" width="16.7109375"/>
    <col bestFit="1" customWidth="1" min="6" max="6" width="17.05078125"/>
    <col bestFit="1" customWidth="1" min="7" max="7" width="18.3125"/>
    <col bestFit="1" customWidth="1" min="8" max="8" width="22.3125"/>
    <col customWidth="1" min="9" max="10" width="26.28125"/>
    <col bestFit="1" customWidth="1" min="11" max="12" width="20.0625"/>
    <col customWidth="1" min="15" max="15" width="11.57421875"/>
    <col customWidth="1" min="16" max="16" width="20.57421875"/>
  </cols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  <c r="L1" s="2" t="s">
        <v>11</v>
      </c>
      <c r="O1" t="s">
        <v>12</v>
      </c>
      <c r="P1" t="s">
        <v>13</v>
      </c>
    </row>
    <row r="2" ht="14.25">
      <c r="A2" t="s">
        <v>14</v>
      </c>
      <c r="B2" t="s">
        <v>15</v>
      </c>
      <c r="C2" t="s">
        <v>16</v>
      </c>
      <c r="D2">
        <v>411</v>
      </c>
      <c r="E2" s="3">
        <v>111.23</v>
      </c>
      <c r="F2" s="4">
        <v>57.229999999999997</v>
      </c>
      <c r="G2" s="4">
        <f>E2-F2</f>
        <v>54.000000000000007</v>
      </c>
      <c r="H2" s="5">
        <f>G2/F2</f>
        <v>0.94356106936921214</v>
      </c>
      <c r="I2" s="6">
        <f>G$18-G2</f>
        <v>26.939999999999991</v>
      </c>
      <c r="J2" s="7" t="s">
        <v>17</v>
      </c>
      <c r="K2" s="8">
        <f>I2/(G2+I2)</f>
        <v>0.33283914010378046</v>
      </c>
      <c r="L2" s="2" t="s">
        <v>18</v>
      </c>
      <c r="O2" t="s">
        <v>16</v>
      </c>
      <c r="P2" s="9">
        <f>AVERAGE(K2:K6)</f>
        <v>0.37000247096614769</v>
      </c>
    </row>
    <row r="3" ht="14.25">
      <c r="A3" t="s">
        <v>19</v>
      </c>
      <c r="B3" t="s">
        <v>15</v>
      </c>
      <c r="C3" t="s">
        <v>16</v>
      </c>
      <c r="D3">
        <v>583</v>
      </c>
      <c r="E3" s="3">
        <v>108.63</v>
      </c>
      <c r="F3" s="4">
        <v>57.229999999999997</v>
      </c>
      <c r="G3" s="4">
        <f>E3-F3</f>
        <v>51.399999999999999</v>
      </c>
      <c r="H3" s="5">
        <f>G3/F3</f>
        <v>0.8981303512143981</v>
      </c>
      <c r="I3" s="6">
        <f>G$18-G3</f>
        <v>29.539999999999999</v>
      </c>
      <c r="J3" s="7" t="s">
        <v>17</v>
      </c>
      <c r="K3" s="8">
        <f>I3/(G3+I3)</f>
        <v>0.36496170002470968</v>
      </c>
      <c r="L3" s="2" t="s">
        <v>20</v>
      </c>
      <c r="O3" t="s">
        <v>21</v>
      </c>
      <c r="P3" s="9">
        <f>AVERAGE(K7:K11)</f>
        <v>0.50643678160919536</v>
      </c>
    </row>
    <row r="4" ht="14.25">
      <c r="A4" t="s">
        <v>22</v>
      </c>
      <c r="B4" t="s">
        <v>15</v>
      </c>
      <c r="C4" t="s">
        <v>16</v>
      </c>
      <c r="D4">
        <v>402</v>
      </c>
      <c r="E4" s="3">
        <v>106.29000000000001</v>
      </c>
      <c r="F4" s="4">
        <v>57.229999999999997</v>
      </c>
      <c r="G4" s="4">
        <f>E4-F4</f>
        <v>49.060000000000009</v>
      </c>
      <c r="H4" s="5">
        <f>G4/F4</f>
        <v>0.85724270487506571</v>
      </c>
      <c r="I4" s="6">
        <f>G$18-G4</f>
        <v>31.879999999999988</v>
      </c>
      <c r="J4" s="7" t="s">
        <v>17</v>
      </c>
      <c r="K4" s="8">
        <f>I4/(G4+I4)</f>
        <v>0.39387200395354571</v>
      </c>
      <c r="L4" s="2" t="s">
        <v>23</v>
      </c>
      <c r="O4" t="s">
        <v>24</v>
      </c>
      <c r="P4" s="9">
        <f>AVERAGE(K12:K16)</f>
        <v>0.42387409200968518</v>
      </c>
    </row>
    <row r="5" ht="14.25">
      <c r="A5" t="s">
        <v>25</v>
      </c>
      <c r="B5" t="s">
        <v>15</v>
      </c>
      <c r="C5" t="s">
        <v>16</v>
      </c>
      <c r="D5">
        <v>373</v>
      </c>
      <c r="E5" s="3">
        <v>105.09999999999999</v>
      </c>
      <c r="F5" s="4">
        <v>57.229999999999997</v>
      </c>
      <c r="G5" s="4">
        <f>E5-F5</f>
        <v>47.869999999999997</v>
      </c>
      <c r="H5" s="5">
        <f>G5/F5</f>
        <v>0.83644941464266997</v>
      </c>
      <c r="I5" s="6">
        <f>G$18-G5</f>
        <v>33.07</v>
      </c>
      <c r="J5" s="7" t="s">
        <v>17</v>
      </c>
      <c r="K5" s="8">
        <f>I5/(G5+I5)</f>
        <v>0.40857425253274032</v>
      </c>
      <c r="L5" s="2" t="s">
        <v>26</v>
      </c>
      <c r="O5" t="s">
        <v>27</v>
      </c>
      <c r="P5" s="9">
        <f>AVERAGE(K2:K16)</f>
        <v>0.43343778152834278</v>
      </c>
    </row>
    <row r="6" ht="14.25">
      <c r="A6" s="10" t="s">
        <v>28</v>
      </c>
      <c r="B6" t="s">
        <v>15</v>
      </c>
      <c r="C6" t="s">
        <v>16</v>
      </c>
      <c r="D6">
        <v>331</v>
      </c>
      <c r="E6" s="3">
        <v>109.86</v>
      </c>
      <c r="F6" s="4">
        <v>57.229999999999997</v>
      </c>
      <c r="G6" s="4">
        <f>E6-F6</f>
        <v>52.630000000000003</v>
      </c>
      <c r="H6" s="5">
        <f>G6/F6</f>
        <v>0.91962257557225247</v>
      </c>
      <c r="I6" s="6">
        <f>G$18-G6</f>
        <v>28.309999999999995</v>
      </c>
      <c r="J6" s="7" t="s">
        <v>17</v>
      </c>
      <c r="K6" s="8">
        <f>I6/(G6+I6)</f>
        <v>0.34976525821596238</v>
      </c>
      <c r="L6" s="2" t="s">
        <v>29</v>
      </c>
    </row>
    <row r="7" ht="14.25">
      <c r="A7" s="10" t="s">
        <v>30</v>
      </c>
      <c r="B7" s="10" t="s">
        <v>15</v>
      </c>
      <c r="C7" s="10" t="s">
        <v>21</v>
      </c>
      <c r="D7">
        <v>335</v>
      </c>
      <c r="E7" s="3">
        <v>54.810000000000002</v>
      </c>
      <c r="F7" s="4">
        <v>38.520000000000003</v>
      </c>
      <c r="G7" s="4">
        <f>E7-F7</f>
        <v>16.289999999999999</v>
      </c>
      <c r="H7" s="5">
        <f>G7/F7</f>
        <v>0.42289719626168221</v>
      </c>
      <c r="I7" s="6">
        <f>G$19-G7</f>
        <v>18.509999999999991</v>
      </c>
      <c r="J7" s="7" t="s">
        <v>17</v>
      </c>
      <c r="K7" s="8">
        <f>I7/(G7+I7)</f>
        <v>0.53189655172413786</v>
      </c>
      <c r="L7" s="2" t="s">
        <v>31</v>
      </c>
    </row>
    <row r="8" ht="14.25">
      <c r="A8" s="10" t="s">
        <v>32</v>
      </c>
      <c r="B8" s="2" t="s">
        <v>15</v>
      </c>
      <c r="C8" s="10" t="s">
        <v>21</v>
      </c>
      <c r="D8">
        <v>337</v>
      </c>
      <c r="E8" s="3">
        <v>56.5</v>
      </c>
      <c r="F8" s="4">
        <v>38.520000000000003</v>
      </c>
      <c r="G8" s="4">
        <f>E8-F8</f>
        <v>17.979999999999997</v>
      </c>
      <c r="H8" s="5">
        <f>G8/F8</f>
        <v>0.4667705088265835</v>
      </c>
      <c r="I8" s="6">
        <f>G$19-G8</f>
        <v>16.819999999999993</v>
      </c>
      <c r="J8" s="7" t="s">
        <v>17</v>
      </c>
      <c r="K8" s="8">
        <f>I8/(G8+I8)</f>
        <v>0.48333333333333328</v>
      </c>
      <c r="L8" s="2" t="s">
        <v>33</v>
      </c>
    </row>
    <row r="9" ht="14.25">
      <c r="A9" s="10" t="s">
        <v>34</v>
      </c>
      <c r="B9" s="2" t="s">
        <v>15</v>
      </c>
      <c r="C9" s="10" t="s">
        <v>21</v>
      </c>
      <c r="D9">
        <v>314</v>
      </c>
      <c r="E9" s="3">
        <v>56.259999999999998</v>
      </c>
      <c r="F9" s="4">
        <v>38.520000000000003</v>
      </c>
      <c r="G9" s="4">
        <f>E9-F9</f>
        <v>17.739999999999995</v>
      </c>
      <c r="H9" s="5">
        <f>G9/F9</f>
        <v>0.46053997923156786</v>
      </c>
      <c r="I9" s="6">
        <f>G$19-G9</f>
        <v>17.059999999999995</v>
      </c>
      <c r="J9" s="7" t="s">
        <v>17</v>
      </c>
      <c r="K9" s="8">
        <f>I9/(G9+I9)</f>
        <v>0.49022988505747128</v>
      </c>
      <c r="L9" s="2" t="s">
        <v>35</v>
      </c>
    </row>
    <row r="10" ht="14.25">
      <c r="A10" s="10" t="s">
        <v>36</v>
      </c>
      <c r="B10" s="2" t="s">
        <v>15</v>
      </c>
      <c r="C10" s="10" t="s">
        <v>21</v>
      </c>
      <c r="D10">
        <v>327</v>
      </c>
      <c r="E10" s="3">
        <v>54.100000000000001</v>
      </c>
      <c r="F10" s="4">
        <v>38.520000000000003</v>
      </c>
      <c r="G10" s="4">
        <f>E10-F10</f>
        <v>15.579999999999998</v>
      </c>
      <c r="H10" s="5">
        <f>G10/F10</f>
        <v>0.40446521287642773</v>
      </c>
      <c r="I10" s="6">
        <f>G$19-G10</f>
        <v>19.219999999999992</v>
      </c>
      <c r="J10" s="7" t="s">
        <v>17</v>
      </c>
      <c r="K10" s="8">
        <f>I10/(G10+I10)</f>
        <v>0.55229885057471262</v>
      </c>
      <c r="L10" s="2" t="s">
        <v>37</v>
      </c>
    </row>
    <row r="11" ht="14.25">
      <c r="A11" s="10" t="s">
        <v>38</v>
      </c>
      <c r="B11" s="2" t="s">
        <v>15</v>
      </c>
      <c r="C11" s="10" t="s">
        <v>21</v>
      </c>
      <c r="D11">
        <v>305</v>
      </c>
      <c r="E11" s="3">
        <v>56.810000000000002</v>
      </c>
      <c r="F11" s="4">
        <v>38.520000000000003</v>
      </c>
      <c r="G11" s="4">
        <f>E11-F11</f>
        <v>18.289999999999999</v>
      </c>
      <c r="H11" s="5">
        <f>G11/F11</f>
        <v>0.47481827622014533</v>
      </c>
      <c r="I11" s="6">
        <f>G$19-G11</f>
        <v>16.509999999999991</v>
      </c>
      <c r="J11" s="7" t="s">
        <v>17</v>
      </c>
      <c r="K11" s="8">
        <f>I11/(G11+I11)</f>
        <v>0.47442528735632172</v>
      </c>
      <c r="L11" s="2" t="s">
        <v>33</v>
      </c>
    </row>
    <row r="12" ht="14.25">
      <c r="A12" s="10" t="s">
        <v>39</v>
      </c>
      <c r="B12" s="2" t="s">
        <v>15</v>
      </c>
      <c r="C12" t="s">
        <v>24</v>
      </c>
      <c r="D12">
        <v>736</v>
      </c>
      <c r="E12" s="3">
        <v>54.560000000000002</v>
      </c>
      <c r="F12" s="4">
        <v>31.280000000000001</v>
      </c>
      <c r="G12" s="4">
        <f>E12-F12</f>
        <v>23.280000000000001</v>
      </c>
      <c r="H12" s="5">
        <f>G12/F12</f>
        <v>0.74424552429667523</v>
      </c>
      <c r="I12" s="6">
        <f>G$20-G12</f>
        <v>18.019999999999996</v>
      </c>
      <c r="J12" s="7" t="s">
        <v>17</v>
      </c>
      <c r="K12" s="8">
        <f>I12/(G12+I12)</f>
        <v>0.43631961259079899</v>
      </c>
      <c r="L12" s="2" t="s">
        <v>40</v>
      </c>
    </row>
    <row r="13" ht="14.25">
      <c r="A13" s="10" t="s">
        <v>41</v>
      </c>
      <c r="B13" s="2" t="s">
        <v>15</v>
      </c>
      <c r="C13" s="10" t="s">
        <v>24</v>
      </c>
      <c r="D13">
        <v>454</v>
      </c>
      <c r="E13" s="3">
        <v>55.380000000000003</v>
      </c>
      <c r="F13" s="4">
        <v>31.280000000000001</v>
      </c>
      <c r="G13" s="4">
        <f>E13-F13</f>
        <v>24.100000000000001</v>
      </c>
      <c r="H13" s="5">
        <f>G13/F13</f>
        <v>0.770460358056266</v>
      </c>
      <c r="I13" s="6">
        <f>G$20-G13</f>
        <v>17.199999999999996</v>
      </c>
      <c r="J13" s="7" t="s">
        <v>17</v>
      </c>
      <c r="K13" s="8">
        <f>I13/(G13+I13)</f>
        <v>0.41646489104116213</v>
      </c>
      <c r="L13" s="2" t="s">
        <v>42</v>
      </c>
    </row>
    <row r="14" ht="14.25">
      <c r="A14" s="10" t="s">
        <v>43</v>
      </c>
      <c r="B14" s="2" t="s">
        <v>15</v>
      </c>
      <c r="C14" s="10" t="s">
        <v>24</v>
      </c>
      <c r="D14">
        <v>685</v>
      </c>
      <c r="E14" s="3">
        <v>56.560000000000002</v>
      </c>
      <c r="F14" s="4">
        <v>31.280000000000001</v>
      </c>
      <c r="G14" s="4">
        <f>E14-F14</f>
        <v>25.280000000000001</v>
      </c>
      <c r="H14" s="5">
        <f>G14/F14</f>
        <v>0.80818414322250642</v>
      </c>
      <c r="I14" s="6">
        <f>G$20-G14</f>
        <v>16.019999999999996</v>
      </c>
      <c r="J14" s="7" t="s">
        <v>17</v>
      </c>
      <c r="K14" s="8">
        <f>I14/(G14+I14)</f>
        <v>0.38789346246973361</v>
      </c>
      <c r="L14" s="2" t="s">
        <v>44</v>
      </c>
    </row>
    <row r="15" ht="14.25">
      <c r="A15" s="10" t="s">
        <v>45</v>
      </c>
      <c r="B15" s="2" t="s">
        <v>15</v>
      </c>
      <c r="C15" s="10" t="s">
        <v>24</v>
      </c>
      <c r="D15">
        <v>561</v>
      </c>
      <c r="E15" s="3">
        <v>52.380000000000003</v>
      </c>
      <c r="F15" s="4">
        <v>31.280000000000001</v>
      </c>
      <c r="G15" s="4">
        <f>E15-F15</f>
        <v>21.100000000000001</v>
      </c>
      <c r="H15" s="5">
        <f>G15/F15</f>
        <v>0.67455242966751916</v>
      </c>
      <c r="I15" s="6">
        <f>G$20-G15</f>
        <v>20.199999999999996</v>
      </c>
      <c r="J15" s="7" t="s">
        <v>17</v>
      </c>
      <c r="K15" s="8">
        <f>I15/(G15+I15)</f>
        <v>0.48910411622276023</v>
      </c>
      <c r="L15" s="2" t="s">
        <v>46</v>
      </c>
    </row>
    <row r="16" ht="14.25">
      <c r="A16" s="10" t="s">
        <v>47</v>
      </c>
      <c r="B16" s="2" t="s">
        <v>15</v>
      </c>
      <c r="C16" s="10" t="s">
        <v>24</v>
      </c>
      <c r="D16">
        <v>628</v>
      </c>
      <c r="E16" s="3">
        <v>56.490000000000002</v>
      </c>
      <c r="F16" s="4">
        <v>31.280000000000001</v>
      </c>
      <c r="G16" s="4">
        <f>E16-F16</f>
        <v>25.210000000000001</v>
      </c>
      <c r="H16" s="5">
        <f>G16/F16</f>
        <v>0.80594629156010233</v>
      </c>
      <c r="I16" s="6">
        <f>G$20-G16</f>
        <v>16.089999999999996</v>
      </c>
      <c r="J16" s="7" t="s">
        <v>17</v>
      </c>
      <c r="K16" s="8">
        <f>I16/(G16+I16)</f>
        <v>0.38958837772397087</v>
      </c>
      <c r="L16" s="2" t="s">
        <v>37</v>
      </c>
    </row>
    <row r="17" ht="14.25">
      <c r="A17" t="s">
        <v>48</v>
      </c>
      <c r="B17" t="s">
        <v>49</v>
      </c>
      <c r="C17" t="s">
        <v>16</v>
      </c>
      <c r="D17" s="11" t="s">
        <v>50</v>
      </c>
      <c r="E17" s="3">
        <v>125.13</v>
      </c>
      <c r="F17" s="4">
        <v>57.229999999999997</v>
      </c>
      <c r="G17" s="4">
        <f>E17-F17</f>
        <v>67.900000000000006</v>
      </c>
      <c r="H17" s="5">
        <f>G17/F17</f>
        <v>1.1864406779661019</v>
      </c>
      <c r="I17" s="6">
        <f>G$18-G17</f>
        <v>13.039999999999992</v>
      </c>
      <c r="J17" s="12" t="s">
        <v>51</v>
      </c>
      <c r="K17" s="8">
        <f>I17/(G17+I17)</f>
        <v>0.16110699283419808</v>
      </c>
      <c r="L17" s="2" t="s">
        <v>52</v>
      </c>
    </row>
    <row r="18" ht="14.25">
      <c r="A18" t="s">
        <v>53</v>
      </c>
      <c r="B18" s="2" t="s">
        <v>54</v>
      </c>
      <c r="C18" s="2" t="s">
        <v>16</v>
      </c>
      <c r="D18" s="11" t="s">
        <v>50</v>
      </c>
      <c r="E18" s="3">
        <v>138.16999999999999</v>
      </c>
      <c r="F18" s="4">
        <v>57.229999999999997</v>
      </c>
      <c r="G18" s="4">
        <f>E18-F18</f>
        <v>80.939999999999998</v>
      </c>
      <c r="H18" s="5">
        <f>G18/F18</f>
        <v>1.4142932028656299</v>
      </c>
      <c r="I18" s="6">
        <f>G$18-G18</f>
        <v>0</v>
      </c>
      <c r="J18" s="7" t="s">
        <v>17</v>
      </c>
      <c r="K18" s="8">
        <f>I18/(G18+I18)</f>
        <v>0</v>
      </c>
      <c r="L18" s="2" t="s">
        <v>55</v>
      </c>
    </row>
    <row r="19" ht="14.25">
      <c r="A19" t="s">
        <v>56</v>
      </c>
      <c r="B19" s="10" t="s">
        <v>49</v>
      </c>
      <c r="C19" t="s">
        <v>21</v>
      </c>
      <c r="D19" s="11" t="s">
        <v>50</v>
      </c>
      <c r="E19" s="3">
        <v>73.319999999999993</v>
      </c>
      <c r="F19" s="4">
        <v>38.520000000000003</v>
      </c>
      <c r="G19" s="4">
        <f>E19-F19</f>
        <v>34.79999999999999</v>
      </c>
      <c r="H19" s="5">
        <f>G19/F19</f>
        <v>0.90342679127725822</v>
      </c>
      <c r="I19" s="6">
        <f>G$19-G19</f>
        <v>0</v>
      </c>
      <c r="J19" s="7" t="s">
        <v>17</v>
      </c>
      <c r="K19" s="8">
        <f>I19/(G19+I19)</f>
        <v>0</v>
      </c>
      <c r="L19" s="2" t="s">
        <v>57</v>
      </c>
    </row>
    <row r="20" ht="14.25">
      <c r="A20" t="s">
        <v>58</v>
      </c>
      <c r="B20" s="10" t="s">
        <v>49</v>
      </c>
      <c r="C20" t="s">
        <v>24</v>
      </c>
      <c r="D20" s="11" t="s">
        <v>50</v>
      </c>
      <c r="E20" s="3">
        <v>72.579999999999998</v>
      </c>
      <c r="F20" s="4">
        <v>31.280000000000001</v>
      </c>
      <c r="G20" s="4">
        <f>E20-F20</f>
        <v>41.299999999999997</v>
      </c>
      <c r="H20" s="5">
        <f>G20/F20</f>
        <v>1.3203324808184143</v>
      </c>
      <c r="I20" s="6">
        <f>G$20-G20</f>
        <v>0</v>
      </c>
      <c r="J20" s="7" t="s">
        <v>17</v>
      </c>
      <c r="K20" s="8">
        <f>I20/(G20+I20)</f>
        <v>0</v>
      </c>
      <c r="L20" s="2" t="s">
        <v>59</v>
      </c>
    </row>
    <row r="21" ht="14.25">
      <c r="A21" t="s">
        <v>60</v>
      </c>
      <c r="B21" t="s">
        <v>61</v>
      </c>
      <c r="C21" t="s">
        <v>16</v>
      </c>
      <c r="D21" s="11" t="s">
        <v>50</v>
      </c>
      <c r="E21" s="3">
        <v>243.77000000000001</v>
      </c>
      <c r="F21" s="4">
        <v>57.229999999999997</v>
      </c>
      <c r="G21" s="4">
        <f>E21-F21</f>
        <v>186.54000000000002</v>
      </c>
      <c r="H21" s="5">
        <f>G21/F21</f>
        <v>3.259479294076534</v>
      </c>
      <c r="I21" s="6">
        <f>G$18-G21</f>
        <v>-105.60000000000002</v>
      </c>
      <c r="J21" s="7" t="s">
        <v>17</v>
      </c>
      <c r="K21" s="8">
        <f>I21/(G21+I21)</f>
        <v>-1.3046701260192739</v>
      </c>
      <c r="L21" s="2" t="s">
        <v>62</v>
      </c>
    </row>
    <row r="22" ht="14.25">
      <c r="A22" t="s">
        <v>63</v>
      </c>
      <c r="B22" s="10" t="s">
        <v>61</v>
      </c>
      <c r="C22" t="s">
        <v>21</v>
      </c>
      <c r="D22" s="11" t="s">
        <v>50</v>
      </c>
      <c r="E22" s="3">
        <v>130.46000000000001</v>
      </c>
      <c r="F22" s="4">
        <v>38.520000000000003</v>
      </c>
      <c r="G22" s="4">
        <f>E22-F22</f>
        <v>91.939999999999998</v>
      </c>
      <c r="H22" s="5">
        <f>G22/F22</f>
        <v>2.3868120456905499</v>
      </c>
      <c r="I22" s="6">
        <f>G$19-G22</f>
        <v>-57.140000000000008</v>
      </c>
      <c r="J22" s="7" t="s">
        <v>17</v>
      </c>
      <c r="K22" s="8">
        <f>I22/(G22+I22)</f>
        <v>-1.6419540229885063</v>
      </c>
      <c r="L22" s="2" t="s">
        <v>64</v>
      </c>
    </row>
    <row r="23" ht="14.25">
      <c r="A23" t="s">
        <v>65</v>
      </c>
      <c r="B23" s="10" t="s">
        <v>61</v>
      </c>
      <c r="C23" t="s">
        <v>24</v>
      </c>
      <c r="D23" s="11" t="s">
        <v>50</v>
      </c>
      <c r="E23" s="3">
        <v>119.69</v>
      </c>
      <c r="F23" s="4">
        <v>31.280000000000001</v>
      </c>
      <c r="G23" s="4">
        <f>E23-F23</f>
        <v>88.409999999999997</v>
      </c>
      <c r="H23" s="5">
        <f>G23/F23</f>
        <v>2.8264066496163682</v>
      </c>
      <c r="I23" s="6">
        <f>G$20-G23</f>
        <v>-47.109999999999999</v>
      </c>
      <c r="J23" s="7" t="s">
        <v>17</v>
      </c>
      <c r="K23" s="8">
        <f>I23/(G23+I23)</f>
        <v>-1.140677966101695</v>
      </c>
      <c r="L23" s="2" t="s">
        <v>46</v>
      </c>
    </row>
    <row r="24" ht="14.25">
      <c r="C24" s="2"/>
      <c r="D24" s="11"/>
      <c r="E24" s="3"/>
      <c r="F24" s="4"/>
      <c r="G24" s="4"/>
      <c r="H24" s="5"/>
      <c r="I24" s="13"/>
      <c r="J24" s="13"/>
      <c r="L24" s="2"/>
    </row>
    <row r="25" ht="14.25">
      <c r="C25" s="2"/>
      <c r="D25" s="11"/>
      <c r="E25" s="3"/>
      <c r="F25" s="4"/>
      <c r="G25" s="4"/>
      <c r="H25" s="5"/>
      <c r="I25" s="6"/>
      <c r="J25" s="6"/>
      <c r="L25" s="2"/>
    </row>
    <row r="26" ht="14.25">
      <c r="C26" s="2"/>
      <c r="D26" s="11"/>
      <c r="E26" s="3"/>
      <c r="F26" s="4"/>
      <c r="G26" s="4"/>
      <c r="H26" s="5"/>
      <c r="I26" s="13"/>
      <c r="J26" s="13"/>
      <c r="L26" s="2"/>
    </row>
    <row r="27" ht="14.25">
      <c r="B27" s="14" t="s">
        <v>66</v>
      </c>
      <c r="C27" s="15"/>
      <c r="D27" s="16"/>
    </row>
    <row r="28" ht="14.25">
      <c r="A28" s="10"/>
      <c r="B28" s="17"/>
      <c r="C28" s="18"/>
      <c r="D28" s="19"/>
    </row>
    <row r="29" ht="14.25">
      <c r="A29" s="10"/>
      <c r="B29" s="17"/>
      <c r="C29" s="18"/>
      <c r="D29" s="19"/>
    </row>
    <row r="30" ht="14.25">
      <c r="A30" s="10"/>
      <c r="B30" s="20"/>
      <c r="C30" s="21"/>
      <c r="D30" s="22"/>
    </row>
    <row r="31" ht="14.25">
      <c r="A31" s="10"/>
      <c r="B31" s="10"/>
    </row>
  </sheetData>
  <mergeCells count="1">
    <mergeCell ref="B27:D30"/>
  </mergeCell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5</cp:revision>
  <dcterms:modified xsi:type="dcterms:W3CDTF">2026-07-05T19:37:15Z</dcterms:modified>
</cp:coreProperties>
</file>